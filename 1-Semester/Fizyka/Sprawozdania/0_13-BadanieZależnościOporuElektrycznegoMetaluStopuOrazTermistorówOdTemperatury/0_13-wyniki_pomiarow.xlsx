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ga\Desktop\IwIK_Projects\2025-26\Fizyka\Sprawozdania\0_13-BadanieZależnościOporuElektrycznegoMetaluStopuOrazTermistorówOdTemperatury\"/>
    </mc:Choice>
  </mc:AlternateContent>
  <xr:revisionPtr revIDLastSave="0" documentId="8_{CF82D696-5CE2-45BD-B83A-3F8458ECC4B3}" xr6:coauthVersionLast="47" xr6:coauthVersionMax="47" xr10:uidLastSave="{00000000-0000-0000-0000-000000000000}"/>
  <bookViews>
    <workbookView xWindow="-108" yWindow="-108" windowWidth="23256" windowHeight="12456" tabRatio="304" xr2:uid="{00000000-000D-0000-FFFF-FFFF00000000}"/>
  </bookViews>
  <sheets>
    <sheet name="Sheet1" sheetId="1" r:id="rId1"/>
    <sheet name="PT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B39" i="1"/>
  <c r="A41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23" i="1"/>
  <c r="M23" i="1"/>
  <c r="M24" i="1"/>
  <c r="M25" i="1"/>
  <c r="M26" i="1"/>
  <c r="M27" i="1"/>
  <c r="M28" i="1"/>
  <c r="J28" i="1" s="1"/>
  <c r="M29" i="1"/>
  <c r="J29" i="1" s="1"/>
  <c r="M30" i="1"/>
  <c r="J30" i="1" s="1"/>
  <c r="M31" i="1"/>
  <c r="J31" i="1" s="1"/>
  <c r="M32" i="1"/>
  <c r="M33" i="1"/>
  <c r="M34" i="1"/>
  <c r="M35" i="1"/>
  <c r="M36" i="1"/>
  <c r="J36" i="1" s="1"/>
  <c r="L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23" i="1"/>
  <c r="N42" i="1"/>
  <c r="M39" i="1" s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39" i="1"/>
  <c r="J24" i="1"/>
  <c r="J25" i="1"/>
  <c r="J26" i="1"/>
  <c r="J27" i="1"/>
  <c r="J32" i="1"/>
  <c r="J33" i="1"/>
  <c r="J34" i="1"/>
  <c r="J35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23" i="1"/>
  <c r="N26" i="1"/>
  <c r="N8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3" i="1"/>
  <c r="O14" i="1"/>
  <c r="O11" i="1"/>
  <c r="N5" i="1"/>
  <c r="N19" i="1"/>
  <c r="M1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2" i="1"/>
  <c r="L1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J23" i="1" l="1"/>
  <c r="L49" i="1"/>
  <c r="L48" i="1"/>
  <c r="M50" i="1"/>
  <c r="J50" i="1" s="1"/>
  <c r="L46" i="1"/>
  <c r="M47" i="1"/>
  <c r="J47" i="1" s="1"/>
  <c r="L39" i="1"/>
  <c r="J39" i="1" s="1"/>
  <c r="M52" i="1"/>
  <c r="J52" i="1" s="1"/>
  <c r="L47" i="1"/>
  <c r="L45" i="1"/>
  <c r="M46" i="1"/>
  <c r="J46" i="1" s="1"/>
  <c r="M51" i="1"/>
  <c r="J51" i="1" s="1"/>
  <c r="M45" i="1"/>
  <c r="J45" i="1" s="1"/>
  <c r="L52" i="1"/>
  <c r="L41" i="1"/>
  <c r="M44" i="1"/>
  <c r="J44" i="1" s="1"/>
  <c r="L42" i="1"/>
  <c r="L50" i="1"/>
  <c r="L40" i="1"/>
  <c r="M43" i="1"/>
  <c r="J43" i="1" s="1"/>
  <c r="M42" i="1"/>
  <c r="J42" i="1" s="1"/>
  <c r="L44" i="1"/>
  <c r="M49" i="1"/>
  <c r="J49" i="1" s="1"/>
  <c r="M41" i="1"/>
  <c r="J41" i="1" s="1"/>
  <c r="L51" i="1"/>
  <c r="L43" i="1"/>
  <c r="M48" i="1"/>
  <c r="J48" i="1" s="1"/>
  <c r="M40" i="1"/>
  <c r="J40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C19" i="1"/>
  <c r="B19" i="1"/>
  <c r="D19" i="1"/>
  <c r="E19" i="1"/>
  <c r="F19" i="1"/>
  <c r="G19" i="1"/>
  <c r="H1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sharedStrings.xml><?xml version="1.0" encoding="utf-8"?>
<sst xmlns="http://schemas.openxmlformats.org/spreadsheetml/2006/main" count="71" uniqueCount="57">
  <si>
    <t>Lp</t>
  </si>
  <si>
    <t>t [°C]</t>
  </si>
  <si>
    <t>T [K]</t>
  </si>
  <si>
    <t>Nikiel</t>
  </si>
  <si>
    <t>PTC</t>
  </si>
  <si>
    <t>NTC</t>
  </si>
  <si>
    <t>Konstantan</t>
  </si>
  <si>
    <t>PTC /10</t>
  </si>
  <si>
    <t>T (Średnia)</t>
  </si>
  <si>
    <t>Nikiel(Śr)</t>
  </si>
  <si>
    <t>PTC(Śr)</t>
  </si>
  <si>
    <t>NTC(Śr)</t>
  </si>
  <si>
    <t>Kontantan(Śr)</t>
  </si>
  <si>
    <t>PTC/10(Śr)</t>
  </si>
  <si>
    <t>t(Śr)</t>
  </si>
  <si>
    <t>Ti-T(Śr)</t>
  </si>
  <si>
    <t>NIKIEL: Ri-R(Śr)</t>
  </si>
  <si>
    <t>(Ti-T(Śr))*(Ri-R(Śr))</t>
  </si>
  <si>
    <t>Ti-T(Śr))^2</t>
  </si>
  <si>
    <t>Suma ^ (1)</t>
  </si>
  <si>
    <t>Suma ^ (2)</t>
  </si>
  <si>
    <t>Suma1/Suma2 = a</t>
  </si>
  <si>
    <t>R(zero) dla Niklu</t>
  </si>
  <si>
    <t>alpha = a/R(zero)</t>
  </si>
  <si>
    <t>u(alpha)=alpha*sqrt((u(a)/a)^2+(u(R(zero)/R(zero))^2)</t>
  </si>
  <si>
    <t>u(a) NIKIEL</t>
  </si>
  <si>
    <t>u(R(zero)) NIKIEL</t>
  </si>
  <si>
    <t>u(a)/a</t>
  </si>
  <si>
    <t>u(R(0))/R(0)</t>
  </si>
  <si>
    <t>DLA NTC</t>
  </si>
  <si>
    <t>T[K]</t>
  </si>
  <si>
    <t>Opór R</t>
  </si>
  <si>
    <t>Współczynnik temperaturowy oporu alpha</t>
  </si>
  <si>
    <t>R(T)</t>
  </si>
  <si>
    <t>a</t>
  </si>
  <si>
    <t>b</t>
  </si>
  <si>
    <t>c</t>
  </si>
  <si>
    <t>R(T)-c</t>
  </si>
  <si>
    <t>Opór R [Ω]</t>
  </si>
  <si>
    <t>R(T) - c</t>
  </si>
  <si>
    <t>e^(bT)</t>
  </si>
  <si>
    <t>R(T) = a*EXP(bT)+c</t>
  </si>
  <si>
    <t>α(T)</t>
  </si>
  <si>
    <t>DLA PTC</t>
  </si>
  <si>
    <t>Wsp temp. Alpha</t>
  </si>
  <si>
    <t>e^a*T</t>
  </si>
  <si>
    <t>a*b*e^a*T</t>
  </si>
  <si>
    <t>b*e^(a*T)+c</t>
  </si>
  <si>
    <t>euler</t>
  </si>
  <si>
    <t>e^a*t</t>
  </si>
  <si>
    <t>a*b*e^a*t</t>
  </si>
  <si>
    <t>b*e^(a*t)+c</t>
  </si>
  <si>
    <t>alpha(T)</t>
  </si>
  <si>
    <t>Przerwa energetyczna dla NTC</t>
  </si>
  <si>
    <t>kB</t>
  </si>
  <si>
    <t>u(Eg)</t>
  </si>
  <si>
    <t>E(g)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</si>
</sst>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000"/>
    <numFmt numFmtId="166" formatCode="0.000000"/>
    <numFmt numFmtId="167" formatCode="0.0000"/>
    <numFmt numFmtId="168" formatCode="0.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mbria Math"/>
      <family val="1"/>
      <charset val="238"/>
    </font>
    <font>
      <sz val="11.3"/>
      <color theme="1"/>
      <name val="MathJax_Mai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3" fillId="0" borderId="0" xfId="0" applyFont="1"/>
    <xf numFmtId="0" fontId="1" fillId="0" borderId="4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4" xfId="0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1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11</xdr:row>
      <xdr:rowOff>41910</xdr:rowOff>
    </xdr:from>
    <xdr:ext cx="65" cy="172227"/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1B2EE011-A713-03A0-E4ED-AAE33945D2CC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zoomScale="94" zoomScaleNormal="94" workbookViewId="0">
      <selection activeCell="P23" sqref="P23"/>
    </sheetView>
  </sheetViews>
  <sheetFormatPr defaultRowHeight="14.4"/>
  <cols>
    <col min="1" max="1" width="26.5546875" customWidth="1"/>
    <col min="3" max="3" width="12.5546875" bestFit="1" customWidth="1"/>
    <col min="4" max="4" width="8.88671875" customWidth="1"/>
    <col min="7" max="7" width="11.109375" bestFit="1" customWidth="1"/>
    <col min="9" max="9" width="12.109375" customWidth="1"/>
    <col min="10" max="10" width="16.77734375" customWidth="1"/>
    <col min="11" max="11" width="18.109375" customWidth="1"/>
    <col min="12" max="12" width="18.77734375" customWidth="1"/>
    <col min="13" max="13" width="12.33203125" customWidth="1"/>
    <col min="14" max="14" width="47.77734375" customWidth="1"/>
    <col min="15" max="15" width="13.109375" customWidth="1"/>
  </cols>
  <sheetData>
    <row r="1" spans="1:1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6" t="s">
        <v>15</v>
      </c>
      <c r="K1" s="6" t="s">
        <v>16</v>
      </c>
      <c r="L1" s="6" t="s">
        <v>17</v>
      </c>
      <c r="M1" s="6" t="s">
        <v>18</v>
      </c>
      <c r="N1" s="14" t="s">
        <v>22</v>
      </c>
    </row>
    <row r="2" spans="1:15">
      <c r="A2" s="3">
        <v>1</v>
      </c>
      <c r="B2" s="2">
        <v>21</v>
      </c>
      <c r="C2">
        <v>294.14999999999998</v>
      </c>
      <c r="D2">
        <v>116.4</v>
      </c>
      <c r="E2">
        <v>80.599999999999994</v>
      </c>
      <c r="F2">
        <v>215.2</v>
      </c>
      <c r="G2">
        <v>111.4</v>
      </c>
      <c r="H2">
        <f>E2/10</f>
        <v>8.0599999999999987</v>
      </c>
      <c r="J2" s="8">
        <f>C2-$C$19</f>
        <v>-31.585714285714346</v>
      </c>
      <c r="K2" s="8">
        <f>D2-$D$19</f>
        <v>-21.721428571428561</v>
      </c>
      <c r="L2" s="9">
        <f>J2*K2</f>
        <v>686.08683673469488</v>
      </c>
      <c r="M2" s="8">
        <f>(C2-$C$19)^2</f>
        <v>997.65734693877926</v>
      </c>
      <c r="N2">
        <v>93.5</v>
      </c>
    </row>
    <row r="3" spans="1:15">
      <c r="A3" s="3">
        <v>2</v>
      </c>
      <c r="B3" s="2">
        <v>25</v>
      </c>
      <c r="C3">
        <v>298.14999999999998</v>
      </c>
      <c r="D3">
        <v>118.8</v>
      </c>
      <c r="E3">
        <v>80.7</v>
      </c>
      <c r="F3">
        <v>202.6</v>
      </c>
      <c r="G3">
        <v>111.4</v>
      </c>
      <c r="H3">
        <f t="shared" ref="H3:H15" si="0">E3/10</f>
        <v>8.07</v>
      </c>
      <c r="J3" s="8">
        <f t="shared" ref="J3:J15" si="1">C3-$C$19</f>
        <v>-27.585714285714346</v>
      </c>
      <c r="K3" s="8">
        <f t="shared" ref="K3:K15" si="2">D3-$D$19</f>
        <v>-19.321428571428569</v>
      </c>
      <c r="L3" s="9">
        <f t="shared" ref="L3:L15" si="3">J3*K3</f>
        <v>532.99540816326646</v>
      </c>
      <c r="M3" s="8">
        <f t="shared" ref="M3:M15" si="4">(C3-$C$19)^2</f>
        <v>760.97163265306449</v>
      </c>
    </row>
    <row r="4" spans="1:15">
      <c r="A4" s="3">
        <v>3</v>
      </c>
      <c r="B4" s="2">
        <v>30</v>
      </c>
      <c r="C4">
        <v>303.14999999999998</v>
      </c>
      <c r="D4">
        <v>122.2</v>
      </c>
      <c r="E4">
        <v>81.8</v>
      </c>
      <c r="F4">
        <v>186.2</v>
      </c>
      <c r="G4">
        <v>111.4</v>
      </c>
      <c r="H4">
        <f t="shared" si="0"/>
        <v>8.18</v>
      </c>
      <c r="J4" s="8">
        <f t="shared" si="1"/>
        <v>-22.585714285714346</v>
      </c>
      <c r="K4" s="8">
        <f t="shared" si="2"/>
        <v>-15.921428571428564</v>
      </c>
      <c r="L4" s="9">
        <f t="shared" si="3"/>
        <v>359.59683673469465</v>
      </c>
      <c r="M4" s="8">
        <f t="shared" si="4"/>
        <v>510.11448979592109</v>
      </c>
      <c r="N4" s="13" t="s">
        <v>23</v>
      </c>
    </row>
    <row r="5" spans="1:15">
      <c r="A5" s="3">
        <v>4</v>
      </c>
      <c r="B5" s="2">
        <v>35</v>
      </c>
      <c r="C5">
        <v>308.14999999999998</v>
      </c>
      <c r="D5">
        <v>125.8</v>
      </c>
      <c r="E5">
        <v>84.3</v>
      </c>
      <c r="F5">
        <v>170.3</v>
      </c>
      <c r="G5">
        <v>111.4</v>
      </c>
      <c r="H5">
        <f t="shared" si="0"/>
        <v>8.43</v>
      </c>
      <c r="J5" s="8">
        <f t="shared" si="1"/>
        <v>-17.585714285714346</v>
      </c>
      <c r="K5" s="8">
        <f t="shared" si="2"/>
        <v>-12.321428571428569</v>
      </c>
      <c r="L5" s="9">
        <f t="shared" si="3"/>
        <v>216.68112244898029</v>
      </c>
      <c r="M5" s="8">
        <f t="shared" si="4"/>
        <v>309.25734693877763</v>
      </c>
      <c r="N5" s="7">
        <f>N19/N2</f>
        <v>7.6058260488186579E-3</v>
      </c>
    </row>
    <row r="6" spans="1:15">
      <c r="A6" s="3">
        <v>5</v>
      </c>
      <c r="B6" s="2">
        <v>40</v>
      </c>
      <c r="C6">
        <v>313.14999999999998</v>
      </c>
      <c r="D6">
        <v>128.4</v>
      </c>
      <c r="E6">
        <v>88.6</v>
      </c>
      <c r="F6">
        <v>155.80000000000001</v>
      </c>
      <c r="G6">
        <v>111.4</v>
      </c>
      <c r="H6">
        <f t="shared" si="0"/>
        <v>8.86</v>
      </c>
      <c r="J6" s="8">
        <f t="shared" si="1"/>
        <v>-12.585714285714346</v>
      </c>
      <c r="K6" s="8">
        <f t="shared" si="2"/>
        <v>-9.7214285714285609</v>
      </c>
      <c r="L6" s="9">
        <f t="shared" si="3"/>
        <v>122.35112244898005</v>
      </c>
      <c r="M6" s="8">
        <f t="shared" si="4"/>
        <v>158.40020408163417</v>
      </c>
    </row>
    <row r="7" spans="1:15">
      <c r="A7" s="3">
        <v>6</v>
      </c>
      <c r="B7" s="2">
        <v>45.2</v>
      </c>
      <c r="C7">
        <v>318.35000000000002</v>
      </c>
      <c r="D7">
        <v>132.69999999999999</v>
      </c>
      <c r="E7">
        <v>95.9</v>
      </c>
      <c r="F7">
        <v>142.4</v>
      </c>
      <c r="G7">
        <v>111.3</v>
      </c>
      <c r="H7">
        <f t="shared" si="0"/>
        <v>9.59</v>
      </c>
      <c r="J7" s="8">
        <f t="shared" si="1"/>
        <v>-7.3857142857143003</v>
      </c>
      <c r="K7" s="8">
        <f t="shared" si="2"/>
        <v>-5.4214285714285779</v>
      </c>
      <c r="L7" s="9">
        <f t="shared" si="3"/>
        <v>40.041122448979721</v>
      </c>
      <c r="M7" s="8">
        <f t="shared" si="4"/>
        <v>54.548775510204301</v>
      </c>
      <c r="N7" s="12" t="s">
        <v>24</v>
      </c>
    </row>
    <row r="8" spans="1:15">
      <c r="A8" s="3">
        <v>7</v>
      </c>
      <c r="B8" s="2">
        <v>50</v>
      </c>
      <c r="C8">
        <v>323.14999999999998</v>
      </c>
      <c r="D8">
        <v>135.9</v>
      </c>
      <c r="E8">
        <v>106.1</v>
      </c>
      <c r="F8">
        <v>130.80000000000001</v>
      </c>
      <c r="G8">
        <v>111.3</v>
      </c>
      <c r="H8">
        <f t="shared" si="0"/>
        <v>10.61</v>
      </c>
      <c r="J8" s="8">
        <f t="shared" si="1"/>
        <v>-2.5857142857143458</v>
      </c>
      <c r="K8" s="8">
        <f t="shared" si="2"/>
        <v>-2.2214285714285609</v>
      </c>
      <c r="L8" s="9">
        <f t="shared" si="3"/>
        <v>5.7439795918368413</v>
      </c>
      <c r="M8" s="8">
        <f t="shared" si="4"/>
        <v>6.6859183673472495</v>
      </c>
      <c r="N8">
        <f>N5*SQRT(O11^2+O14^2)</f>
        <v>6.633011553797988E-4</v>
      </c>
    </row>
    <row r="9" spans="1:15">
      <c r="A9" s="3">
        <v>8</v>
      </c>
      <c r="B9" s="2">
        <v>55</v>
      </c>
      <c r="C9">
        <v>328.15</v>
      </c>
      <c r="D9">
        <v>139.4</v>
      </c>
      <c r="E9">
        <v>122.3</v>
      </c>
      <c r="F9">
        <v>119.4</v>
      </c>
      <c r="G9">
        <v>111.3</v>
      </c>
      <c r="H9">
        <f t="shared" si="0"/>
        <v>12.23</v>
      </c>
      <c r="J9" s="8">
        <f t="shared" si="1"/>
        <v>2.4142857142856542</v>
      </c>
      <c r="K9" s="8">
        <f t="shared" si="2"/>
        <v>1.2785714285714391</v>
      </c>
      <c r="L9" s="9">
        <f t="shared" si="3"/>
        <v>3.0868367346938261</v>
      </c>
      <c r="M9" s="8">
        <f t="shared" si="4"/>
        <v>5.8287755102037915</v>
      </c>
      <c r="N9" s="15"/>
    </row>
    <row r="10" spans="1:15">
      <c r="A10" s="3">
        <v>9</v>
      </c>
      <c r="B10" s="2">
        <v>60</v>
      </c>
      <c r="C10">
        <v>333.15</v>
      </c>
      <c r="D10">
        <v>142.9</v>
      </c>
      <c r="E10">
        <v>151.69999999999999</v>
      </c>
      <c r="F10">
        <v>109.4</v>
      </c>
      <c r="G10">
        <v>111.3</v>
      </c>
      <c r="H10">
        <f t="shared" si="0"/>
        <v>15.169999999999998</v>
      </c>
      <c r="J10" s="8">
        <f t="shared" si="1"/>
        <v>7.4142857142856542</v>
      </c>
      <c r="K10" s="8">
        <f t="shared" si="2"/>
        <v>4.7785714285714391</v>
      </c>
      <c r="L10" s="9">
        <f t="shared" si="3"/>
        <v>35.429693877550811</v>
      </c>
      <c r="M10" s="8">
        <f t="shared" si="4"/>
        <v>54.971632653060333</v>
      </c>
      <c r="N10" s="15" t="s">
        <v>25</v>
      </c>
      <c r="O10" s="12" t="s">
        <v>27</v>
      </c>
    </row>
    <row r="11" spans="1:15">
      <c r="A11" s="3">
        <v>10</v>
      </c>
      <c r="B11" s="2">
        <v>65</v>
      </c>
      <c r="C11">
        <v>338.15</v>
      </c>
      <c r="D11">
        <v>146.6</v>
      </c>
      <c r="E11">
        <v>213.8</v>
      </c>
      <c r="F11">
        <v>100.6</v>
      </c>
      <c r="G11">
        <v>111.3</v>
      </c>
      <c r="H11">
        <f t="shared" si="0"/>
        <v>21.380000000000003</v>
      </c>
      <c r="J11" s="8">
        <f t="shared" si="1"/>
        <v>12.414285714285654</v>
      </c>
      <c r="K11" s="8">
        <f t="shared" si="2"/>
        <v>8.4785714285714278</v>
      </c>
      <c r="L11" s="9">
        <f t="shared" si="3"/>
        <v>105.25540816326479</v>
      </c>
      <c r="M11" s="8">
        <f t="shared" si="4"/>
        <v>154.11448979591688</v>
      </c>
      <c r="N11" s="16">
        <v>6.2E-2</v>
      </c>
      <c r="O11">
        <f>N11/N19</f>
        <v>8.7183377587378333E-2</v>
      </c>
    </row>
    <row r="12" spans="1:15">
      <c r="A12" s="3">
        <v>11</v>
      </c>
      <c r="B12" s="2">
        <v>70</v>
      </c>
      <c r="C12">
        <v>343.15</v>
      </c>
      <c r="D12">
        <v>150.6</v>
      </c>
      <c r="E12">
        <v>340.8</v>
      </c>
      <c r="F12">
        <v>92.8</v>
      </c>
      <c r="G12">
        <v>111.2</v>
      </c>
      <c r="H12">
        <f t="shared" si="0"/>
        <v>34.08</v>
      </c>
      <c r="J12" s="8">
        <f t="shared" si="1"/>
        <v>17.414285714285654</v>
      </c>
      <c r="K12" s="8">
        <f t="shared" si="2"/>
        <v>12.478571428571428</v>
      </c>
      <c r="L12" s="9">
        <f t="shared" si="3"/>
        <v>217.30540816326453</v>
      </c>
      <c r="M12" s="8">
        <f t="shared" si="4"/>
        <v>303.25734693877342</v>
      </c>
    </row>
    <row r="13" spans="1:15">
      <c r="A13" s="3">
        <v>12</v>
      </c>
      <c r="B13" s="2">
        <v>75</v>
      </c>
      <c r="C13">
        <v>348.15</v>
      </c>
      <c r="D13">
        <v>154.30000000000001</v>
      </c>
      <c r="E13">
        <v>587.29999999999995</v>
      </c>
      <c r="F13" s="2">
        <v>86</v>
      </c>
      <c r="G13">
        <v>111.2</v>
      </c>
      <c r="H13">
        <f t="shared" si="0"/>
        <v>58.73</v>
      </c>
      <c r="J13" s="8">
        <f t="shared" si="1"/>
        <v>22.414285714285654</v>
      </c>
      <c r="K13" s="8">
        <f t="shared" si="2"/>
        <v>16.178571428571445</v>
      </c>
      <c r="L13" s="9">
        <f t="shared" si="3"/>
        <v>362.631122448979</v>
      </c>
      <c r="M13" s="8">
        <f t="shared" si="4"/>
        <v>502.40020408162997</v>
      </c>
      <c r="N13" s="15" t="s">
        <v>26</v>
      </c>
      <c r="O13" s="12" t="s">
        <v>28</v>
      </c>
    </row>
    <row r="14" spans="1:15">
      <c r="A14" s="3">
        <v>13</v>
      </c>
      <c r="B14" s="2">
        <v>80</v>
      </c>
      <c r="C14">
        <v>353.15</v>
      </c>
      <c r="D14">
        <v>157.9</v>
      </c>
      <c r="E14">
        <v>1077.5999999999999</v>
      </c>
      <c r="F14">
        <v>79.7</v>
      </c>
      <c r="G14">
        <v>111.2</v>
      </c>
      <c r="H14">
        <f t="shared" si="0"/>
        <v>107.75999999999999</v>
      </c>
      <c r="J14" s="8">
        <f t="shared" si="1"/>
        <v>27.414285714285654</v>
      </c>
      <c r="K14" s="8">
        <f t="shared" si="2"/>
        <v>19.778571428571439</v>
      </c>
      <c r="L14" s="9">
        <f t="shared" si="3"/>
        <v>542.21540816326444</v>
      </c>
      <c r="M14" s="8">
        <f t="shared" si="4"/>
        <v>751.54306122448645</v>
      </c>
      <c r="N14" s="16">
        <v>0.2</v>
      </c>
      <c r="O14">
        <f>N14/N2</f>
        <v>2.1390374331550803E-3</v>
      </c>
    </row>
    <row r="15" spans="1:15">
      <c r="A15" s="3">
        <v>14</v>
      </c>
      <c r="B15" s="2">
        <v>85</v>
      </c>
      <c r="C15">
        <v>358.15</v>
      </c>
      <c r="D15">
        <v>161.80000000000001</v>
      </c>
      <c r="E15">
        <v>2105.1999999999998</v>
      </c>
      <c r="F15">
        <v>73.8</v>
      </c>
      <c r="G15">
        <v>111.1</v>
      </c>
      <c r="H15">
        <f t="shared" si="0"/>
        <v>210.51999999999998</v>
      </c>
      <c r="J15" s="8">
        <f t="shared" si="1"/>
        <v>32.414285714285654</v>
      </c>
      <c r="K15" s="8">
        <f t="shared" si="2"/>
        <v>23.678571428571445</v>
      </c>
      <c r="L15" s="9">
        <f t="shared" si="3"/>
        <v>767.52397959183588</v>
      </c>
      <c r="M15" s="8">
        <f t="shared" si="4"/>
        <v>1050.685918367343</v>
      </c>
    </row>
    <row r="17" spans="1:17" ht="12.6" customHeight="1">
      <c r="C17" s="5"/>
      <c r="K17" s="11"/>
    </row>
    <row r="18" spans="1:17">
      <c r="B18" t="s">
        <v>14</v>
      </c>
      <c r="C18" t="s">
        <v>8</v>
      </c>
      <c r="D18" t="s">
        <v>9</v>
      </c>
      <c r="E18" t="s">
        <v>10</v>
      </c>
      <c r="F18" t="s">
        <v>11</v>
      </c>
      <c r="G18" t="s">
        <v>12</v>
      </c>
      <c r="H18" t="s">
        <v>13</v>
      </c>
      <c r="L18" t="s">
        <v>19</v>
      </c>
      <c r="M18" t="s">
        <v>20</v>
      </c>
      <c r="N18" s="13" t="s">
        <v>21</v>
      </c>
    </row>
    <row r="19" spans="1:17">
      <c r="B19">
        <f>AVERAGE(B2:B15)</f>
        <v>52.585714285714289</v>
      </c>
      <c r="C19">
        <f>AVERAGE(C2:C15)</f>
        <v>325.73571428571432</v>
      </c>
      <c r="D19">
        <f t="shared" ref="D19:H19" si="5">AVERAGE(D2:D15)</f>
        <v>138.12142857142857</v>
      </c>
      <c r="E19">
        <f t="shared" si="5"/>
        <v>372.62142857142857</v>
      </c>
      <c r="F19">
        <f t="shared" si="5"/>
        <v>133.21428571428572</v>
      </c>
      <c r="G19">
        <f t="shared" si="5"/>
        <v>111.29999999999998</v>
      </c>
      <c r="H19">
        <f t="shared" si="5"/>
        <v>37.262142857142855</v>
      </c>
      <c r="J19" s="10"/>
      <c r="L19" s="9">
        <f>SUM(L2:L15)</f>
        <v>3996.9442857142863</v>
      </c>
      <c r="M19" s="8">
        <f>SUM(M2:M15)</f>
        <v>5620.4371428571421</v>
      </c>
      <c r="N19" s="12">
        <f>L19/M19</f>
        <v>0.71114473556454449</v>
      </c>
    </row>
    <row r="21" spans="1:17">
      <c r="A21" t="s">
        <v>29</v>
      </c>
      <c r="G21" t="s">
        <v>43</v>
      </c>
      <c r="M21" t="s">
        <v>33</v>
      </c>
    </row>
    <row r="22" spans="1:17">
      <c r="B22" s="12" t="s">
        <v>30</v>
      </c>
      <c r="C22" s="12" t="s">
        <v>31</v>
      </c>
      <c r="D22" s="12" t="s">
        <v>32</v>
      </c>
      <c r="E22" s="13" t="s">
        <v>34</v>
      </c>
      <c r="G22" s="1"/>
      <c r="H22" s="1" t="s">
        <v>2</v>
      </c>
      <c r="I22" s="1" t="s">
        <v>38</v>
      </c>
      <c r="J22" s="12" t="s">
        <v>44</v>
      </c>
      <c r="K22" s="12" t="s">
        <v>45</v>
      </c>
      <c r="L22" s="12" t="s">
        <v>46</v>
      </c>
      <c r="M22" s="12" t="s">
        <v>47</v>
      </c>
      <c r="N22" s="12" t="s">
        <v>34</v>
      </c>
      <c r="O22" s="12" t="s">
        <v>35</v>
      </c>
      <c r="P22" s="12" t="s">
        <v>52</v>
      </c>
      <c r="Q22" s="12" t="s">
        <v>37</v>
      </c>
    </row>
    <row r="23" spans="1:17" ht="15">
      <c r="B23">
        <v>294.14999999999998</v>
      </c>
      <c r="C23">
        <v>215.2</v>
      </c>
      <c r="D23">
        <f>-($E$23/B23^2)</f>
        <v>-2.0687848423023972E-2</v>
      </c>
      <c r="E23">
        <v>1790</v>
      </c>
      <c r="G23" s="2"/>
      <c r="H23">
        <v>294.14999999999998</v>
      </c>
      <c r="I23">
        <v>80.599999999999994</v>
      </c>
      <c r="J23" s="18">
        <f>L23/M23</f>
        <v>4.2279013843110232E-3</v>
      </c>
      <c r="K23">
        <f>EXP($N$23*H23)</f>
        <v>6.7172975214373619E+17</v>
      </c>
      <c r="L23" s="17">
        <f>$N$23*$N$26*EXP($N$23*H23)</f>
        <v>3.7495954764663358E-2</v>
      </c>
      <c r="M23">
        <f>($N$26*EXP($N$23*H23))+$N$29</f>
        <v>8.8686919008574936</v>
      </c>
      <c r="N23" s="19">
        <v>0.13955000000000001</v>
      </c>
      <c r="O23">
        <f>I23-$N$29/EXP($N$23*H23)</f>
        <v>80.599999999999994</v>
      </c>
      <c r="P23">
        <f>(($N$23*$N$26)*EXP($N$23*H23))/M23</f>
        <v>4.2279013843110232E-3</v>
      </c>
      <c r="Q23">
        <f>M23-$N$29</f>
        <v>0.26869190085749395</v>
      </c>
    </row>
    <row r="24" spans="1:17" ht="15">
      <c r="B24">
        <v>298.14999999999998</v>
      </c>
      <c r="C24">
        <v>202.6</v>
      </c>
      <c r="D24">
        <f t="shared" ref="D24:D36" si="6">-($E$23/B24^2)</f>
        <v>-2.0136472976951699E-2</v>
      </c>
      <c r="G24" s="2"/>
      <c r="H24">
        <v>298.14999999999998</v>
      </c>
      <c r="I24">
        <v>80.7</v>
      </c>
      <c r="J24" s="18">
        <f t="shared" ref="J24:J36" si="7">L24/M24</f>
        <v>7.2247374404621374E-3</v>
      </c>
      <c r="K24">
        <f t="shared" ref="K24:K36" si="8">EXP($N$23*H24)</f>
        <v>1.1738639468034048E+18</v>
      </c>
      <c r="L24" s="17">
        <f t="shared" ref="L24:L36" si="9">$N$23*$N$26*EXP($N$23*H24)</f>
        <v>6.5525085510566072E-2</v>
      </c>
      <c r="M24">
        <f t="shared" ref="M24:M36" si="10">($N$26*EXP($N$23*H24))+$N$29</f>
        <v>9.0695455787213621</v>
      </c>
      <c r="O24">
        <f t="shared" ref="O24:O36" si="11">I24-$N$29/EXP($N$23*H24)</f>
        <v>80.7</v>
      </c>
      <c r="P24">
        <f t="shared" ref="P24:P36" si="12">(($N$23*$N$26)*EXP($N$23*H24))/M24</f>
        <v>7.2247374404621374E-3</v>
      </c>
      <c r="Q24">
        <f t="shared" ref="Q24:Q36" si="13">M24-$N$29</f>
        <v>0.46954557872136249</v>
      </c>
    </row>
    <row r="25" spans="1:17" ht="15">
      <c r="B25">
        <v>303.14999999999998</v>
      </c>
      <c r="C25">
        <v>186.2</v>
      </c>
      <c r="D25">
        <f t="shared" si="6"/>
        <v>-1.9477709570429727E-2</v>
      </c>
      <c r="G25" s="2"/>
      <c r="H25">
        <v>303.14999999999998</v>
      </c>
      <c r="I25">
        <v>81.8</v>
      </c>
      <c r="J25" s="18">
        <f t="shared" si="7"/>
        <v>1.379533879344284E-2</v>
      </c>
      <c r="K25">
        <f t="shared" si="8"/>
        <v>2.3585589688150308E+18</v>
      </c>
      <c r="L25" s="17">
        <f t="shared" si="9"/>
        <v>0.13165476163925505</v>
      </c>
      <c r="M25">
        <f t="shared" si="10"/>
        <v>9.5434235875260125</v>
      </c>
      <c r="N25" s="12" t="s">
        <v>35</v>
      </c>
      <c r="O25">
        <f t="shared" si="11"/>
        <v>81.8</v>
      </c>
      <c r="P25">
        <f t="shared" si="12"/>
        <v>1.379533879344284E-2</v>
      </c>
      <c r="Q25">
        <f t="shared" si="13"/>
        <v>0.94342358752601285</v>
      </c>
    </row>
    <row r="26" spans="1:17" ht="15">
      <c r="B26">
        <v>308.14999999999998</v>
      </c>
      <c r="C26">
        <v>170.3</v>
      </c>
      <c r="D26">
        <f t="shared" si="6"/>
        <v>-1.8850752301667644E-2</v>
      </c>
      <c r="G26" s="2"/>
      <c r="H26">
        <v>308.14999999999998</v>
      </c>
      <c r="I26">
        <v>84.3</v>
      </c>
      <c r="J26" s="18">
        <f t="shared" si="7"/>
        <v>2.5203465500033492E-2</v>
      </c>
      <c r="K26">
        <f t="shared" si="8"/>
        <v>4.7388800248325734E+18</v>
      </c>
      <c r="L26" s="17">
        <f t="shared" si="9"/>
        <v>0.26452428298615427</v>
      </c>
      <c r="M26">
        <f t="shared" si="10"/>
        <v>10.495552009933029</v>
      </c>
      <c r="N26" s="19">
        <f>0.4*10^(-18)</f>
        <v>4.0000000000000004E-19</v>
      </c>
      <c r="O26">
        <f t="shared" si="11"/>
        <v>84.3</v>
      </c>
      <c r="P26">
        <f t="shared" si="12"/>
        <v>2.5203465500033492E-2</v>
      </c>
      <c r="Q26">
        <f t="shared" si="13"/>
        <v>1.895552009933029</v>
      </c>
    </row>
    <row r="27" spans="1:17" ht="15">
      <c r="B27">
        <v>313.14999999999998</v>
      </c>
      <c r="C27">
        <v>155.80000000000001</v>
      </c>
      <c r="D27">
        <f t="shared" si="6"/>
        <v>-1.8253586109469665E-2</v>
      </c>
      <c r="G27" s="2"/>
      <c r="H27">
        <v>313.14999999999998</v>
      </c>
      <c r="I27">
        <v>88.6</v>
      </c>
      <c r="J27" s="18">
        <f t="shared" si="7"/>
        <v>4.2832354210627734E-2</v>
      </c>
      <c r="K27">
        <f t="shared" si="8"/>
        <v>9.5214850197448458E+18</v>
      </c>
      <c r="L27" s="17">
        <f t="shared" si="9"/>
        <v>0.53148929380215737</v>
      </c>
      <c r="M27">
        <f t="shared" si="10"/>
        <v>12.408594007897939</v>
      </c>
      <c r="O27">
        <f t="shared" si="11"/>
        <v>88.6</v>
      </c>
      <c r="P27">
        <f t="shared" si="12"/>
        <v>4.2832354210627734E-2</v>
      </c>
      <c r="Q27">
        <f t="shared" si="13"/>
        <v>3.8085940078979394</v>
      </c>
    </row>
    <row r="28" spans="1:17" ht="15">
      <c r="B28">
        <v>318.35000000000002</v>
      </c>
      <c r="C28">
        <v>142.4</v>
      </c>
      <c r="D28">
        <f t="shared" si="6"/>
        <v>-1.7662139986816049E-2</v>
      </c>
      <c r="G28" s="2"/>
      <c r="H28">
        <v>318.35000000000002</v>
      </c>
      <c r="I28">
        <v>95.9</v>
      </c>
      <c r="J28" s="18">
        <f t="shared" si="7"/>
        <v>6.6677557975312579E-2</v>
      </c>
      <c r="K28">
        <f t="shared" si="8"/>
        <v>1.9672285662988513E+19</v>
      </c>
      <c r="L28" s="17">
        <f t="shared" si="9"/>
        <v>1.098106985708019</v>
      </c>
      <c r="M28">
        <f t="shared" si="10"/>
        <v>16.468914265195405</v>
      </c>
      <c r="N28" s="12" t="s">
        <v>36</v>
      </c>
      <c r="O28">
        <f t="shared" si="11"/>
        <v>95.9</v>
      </c>
      <c r="P28">
        <f t="shared" si="12"/>
        <v>6.6677557975312579E-2</v>
      </c>
      <c r="Q28">
        <f t="shared" si="13"/>
        <v>7.8689142651954054</v>
      </c>
    </row>
    <row r="29" spans="1:17" ht="15">
      <c r="B29">
        <v>323.14999999999998</v>
      </c>
      <c r="C29">
        <v>130.80000000000001</v>
      </c>
      <c r="D29">
        <f t="shared" si="6"/>
        <v>-1.7141337678869922E-2</v>
      </c>
      <c r="G29" s="2"/>
      <c r="H29">
        <v>323.14999999999998</v>
      </c>
      <c r="I29">
        <v>106.1</v>
      </c>
      <c r="J29" s="18">
        <f t="shared" si="7"/>
        <v>8.9492994772721518E-2</v>
      </c>
      <c r="K29">
        <f t="shared" si="8"/>
        <v>3.8438164226512249E+19</v>
      </c>
      <c r="L29" s="17">
        <f t="shared" si="9"/>
        <v>2.145618327123914</v>
      </c>
      <c r="M29">
        <f t="shared" si="10"/>
        <v>23.9752656906049</v>
      </c>
      <c r="N29" s="19">
        <v>8.6</v>
      </c>
      <c r="O29">
        <f t="shared" si="11"/>
        <v>106.1</v>
      </c>
      <c r="P29">
        <f t="shared" si="12"/>
        <v>8.9492994772721518E-2</v>
      </c>
      <c r="Q29">
        <f t="shared" si="13"/>
        <v>15.3752656906049</v>
      </c>
    </row>
    <row r="30" spans="1:17" ht="15">
      <c r="B30">
        <v>328.15</v>
      </c>
      <c r="C30">
        <v>119.4</v>
      </c>
      <c r="D30">
        <f t="shared" si="6"/>
        <v>-1.6622954410224197E-2</v>
      </c>
      <c r="G30" s="2"/>
      <c r="H30">
        <v>328.15</v>
      </c>
      <c r="I30">
        <v>122.3</v>
      </c>
      <c r="J30" s="18">
        <f t="shared" si="7"/>
        <v>0.10916111256050404</v>
      </c>
      <c r="K30">
        <f t="shared" si="8"/>
        <v>7.7230991911883047E+19</v>
      </c>
      <c r="L30" s="17">
        <f t="shared" si="9"/>
        <v>4.3110339685213122</v>
      </c>
      <c r="M30">
        <f t="shared" si="10"/>
        <v>39.492396764753224</v>
      </c>
      <c r="O30">
        <f t="shared" si="11"/>
        <v>122.3</v>
      </c>
      <c r="P30">
        <f t="shared" si="12"/>
        <v>0.10916111256050404</v>
      </c>
      <c r="Q30">
        <f t="shared" si="13"/>
        <v>30.892396764753222</v>
      </c>
    </row>
    <row r="31" spans="1:17" ht="15">
      <c r="B31">
        <v>333.15</v>
      </c>
      <c r="C31">
        <v>109.4</v>
      </c>
      <c r="D31">
        <f t="shared" si="6"/>
        <v>-1.6127735630553582E-2</v>
      </c>
      <c r="G31" s="2"/>
      <c r="H31">
        <v>333.15</v>
      </c>
      <c r="I31">
        <v>151.69999999999999</v>
      </c>
      <c r="J31" s="18">
        <f t="shared" si="7"/>
        <v>0.12256778928153869</v>
      </c>
      <c r="K31">
        <f t="shared" si="8"/>
        <v>1.5517458317063225E+20</v>
      </c>
      <c r="L31" s="17">
        <f t="shared" si="9"/>
        <v>8.6618452325846942</v>
      </c>
      <c r="M31">
        <f t="shared" si="10"/>
        <v>70.669833268252901</v>
      </c>
      <c r="N31" s="12" t="s">
        <v>48</v>
      </c>
      <c r="O31">
        <f t="shared" si="11"/>
        <v>151.69999999999999</v>
      </c>
      <c r="P31">
        <f t="shared" si="12"/>
        <v>0.12256778928153869</v>
      </c>
      <c r="Q31">
        <f t="shared" si="13"/>
        <v>62.0698332682529</v>
      </c>
    </row>
    <row r="32" spans="1:17" ht="15">
      <c r="B32">
        <v>338.15</v>
      </c>
      <c r="C32">
        <v>100.6</v>
      </c>
      <c r="D32">
        <f t="shared" si="6"/>
        <v>-1.5654321448678895E-2</v>
      </c>
      <c r="G32" s="2"/>
      <c r="H32">
        <v>338.15</v>
      </c>
      <c r="I32">
        <v>213.8</v>
      </c>
      <c r="J32" s="18">
        <f t="shared" si="7"/>
        <v>0.13054761000670484</v>
      </c>
      <c r="K32">
        <f t="shared" si="8"/>
        <v>3.117809400875318E+20</v>
      </c>
      <c r="L32" s="17">
        <f t="shared" si="9"/>
        <v>17.403612075686027</v>
      </c>
      <c r="M32">
        <f t="shared" si="10"/>
        <v>133.31237603501273</v>
      </c>
      <c r="N32" s="19">
        <v>2.7182818284590402</v>
      </c>
      <c r="O32">
        <f t="shared" si="11"/>
        <v>213.8</v>
      </c>
      <c r="P32">
        <f t="shared" si="12"/>
        <v>0.13054761000670484</v>
      </c>
      <c r="Q32">
        <f t="shared" si="13"/>
        <v>124.71237603501274</v>
      </c>
    </row>
    <row r="33" spans="1:17" ht="15">
      <c r="B33">
        <v>343.15</v>
      </c>
      <c r="C33">
        <v>92.8</v>
      </c>
      <c r="D33">
        <f t="shared" si="6"/>
        <v>-1.520145032026972E-2</v>
      </c>
      <c r="G33" s="2"/>
      <c r="H33">
        <v>343.15</v>
      </c>
      <c r="I33">
        <v>340.8</v>
      </c>
      <c r="J33" s="18">
        <f t="shared" si="7"/>
        <v>0.13491943034108156</v>
      </c>
      <c r="K33">
        <f t="shared" si="8"/>
        <v>6.2643863843974034E+20</v>
      </c>
      <c r="L33" s="17">
        <f t="shared" si="9"/>
        <v>34.967804797706314</v>
      </c>
      <c r="M33">
        <f t="shared" si="10"/>
        <v>259.17545537589615</v>
      </c>
      <c r="O33">
        <f t="shared" si="11"/>
        <v>340.8</v>
      </c>
      <c r="P33">
        <f t="shared" si="12"/>
        <v>0.13491943034108156</v>
      </c>
      <c r="Q33">
        <f t="shared" si="13"/>
        <v>250.57545537589615</v>
      </c>
    </row>
    <row r="34" spans="1:17" ht="15">
      <c r="B34">
        <v>348.15</v>
      </c>
      <c r="C34" s="2">
        <v>86</v>
      </c>
      <c r="D34">
        <f t="shared" si="6"/>
        <v>-1.4767950634783653E-2</v>
      </c>
      <c r="G34" s="2"/>
      <c r="H34">
        <v>348.15</v>
      </c>
      <c r="I34">
        <v>587.29999999999995</v>
      </c>
      <c r="J34" s="18">
        <f t="shared" si="7"/>
        <v>0.13720628418191969</v>
      </c>
      <c r="K34">
        <f t="shared" si="8"/>
        <v>1.2586573368470371E+21</v>
      </c>
      <c r="L34" s="17">
        <f t="shared" si="9"/>
        <v>70.258252542801628</v>
      </c>
      <c r="M34">
        <f t="shared" si="10"/>
        <v>512.06293473881487</v>
      </c>
      <c r="O34">
        <f t="shared" si="11"/>
        <v>587.29999999999995</v>
      </c>
      <c r="P34">
        <f t="shared" si="12"/>
        <v>0.13720628418191969</v>
      </c>
      <c r="Q34">
        <f t="shared" si="13"/>
        <v>503.46293473881485</v>
      </c>
    </row>
    <row r="35" spans="1:17" ht="15">
      <c r="B35">
        <v>353.15</v>
      </c>
      <c r="C35">
        <v>79.7</v>
      </c>
      <c r="D35">
        <f t="shared" si="6"/>
        <v>-1.4352733130231471E-2</v>
      </c>
      <c r="G35" s="2"/>
      <c r="H35">
        <v>353.15</v>
      </c>
      <c r="I35">
        <v>1077.5999999999999</v>
      </c>
      <c r="J35" s="18">
        <f t="shared" si="7"/>
        <v>0.13837359946939959</v>
      </c>
      <c r="K35">
        <f t="shared" si="8"/>
        <v>2.5289281254180766E+21</v>
      </c>
      <c r="L35" s="17">
        <f t="shared" si="9"/>
        <v>141.16476796083705</v>
      </c>
      <c r="M35">
        <f t="shared" si="10"/>
        <v>1020.1712501672308</v>
      </c>
      <c r="O35">
        <f t="shared" si="11"/>
        <v>1077.5999999999999</v>
      </c>
      <c r="P35">
        <f t="shared" si="12"/>
        <v>0.13837359946939959</v>
      </c>
      <c r="Q35">
        <f t="shared" si="13"/>
        <v>1011.5712501672308</v>
      </c>
    </row>
    <row r="36" spans="1:17" ht="15">
      <c r="B36">
        <v>358.15</v>
      </c>
      <c r="C36">
        <v>73.8</v>
      </c>
      <c r="D36">
        <f t="shared" si="6"/>
        <v>-1.3954784043967394E-2</v>
      </c>
      <c r="G36" s="2"/>
      <c r="H36">
        <v>358.15</v>
      </c>
      <c r="I36">
        <v>2105.1999999999998</v>
      </c>
      <c r="J36" s="18">
        <f t="shared" si="7"/>
        <v>0.13896201115142118</v>
      </c>
      <c r="K36">
        <f t="shared" si="8"/>
        <v>5.0811903099467821E+21</v>
      </c>
      <c r="L36" s="17">
        <f t="shared" si="9"/>
        <v>283.63204310122944</v>
      </c>
      <c r="M36">
        <f t="shared" si="10"/>
        <v>2041.076123978713</v>
      </c>
      <c r="O36">
        <f t="shared" si="11"/>
        <v>2105.1999999999998</v>
      </c>
      <c r="P36">
        <f t="shared" si="12"/>
        <v>0.13896201115142118</v>
      </c>
      <c r="Q36">
        <f t="shared" si="13"/>
        <v>2032.4761239787131</v>
      </c>
    </row>
    <row r="38" spans="1:17">
      <c r="A38" s="12" t="s">
        <v>53</v>
      </c>
      <c r="B38" t="s">
        <v>56</v>
      </c>
      <c r="C38" t="s">
        <v>55</v>
      </c>
      <c r="H38" s="1" t="s">
        <v>1</v>
      </c>
      <c r="I38" s="1" t="s">
        <v>38</v>
      </c>
      <c r="J38" s="12" t="s">
        <v>44</v>
      </c>
      <c r="K38" s="12" t="s">
        <v>49</v>
      </c>
      <c r="L38" s="12" t="s">
        <v>50</v>
      </c>
      <c r="M38" s="12" t="s">
        <v>51</v>
      </c>
      <c r="N38" s="12" t="s">
        <v>34</v>
      </c>
    </row>
    <row r="39" spans="1:17" ht="15">
      <c r="B39">
        <f>2*$A$44*$A$41</f>
        <v>0.30850052140000006</v>
      </c>
      <c r="C39">
        <f>2*A41*A47</f>
        <v>1.0685492920000002E-5</v>
      </c>
      <c r="H39" s="2">
        <v>21</v>
      </c>
      <c r="I39">
        <v>80.599999999999994</v>
      </c>
      <c r="J39" s="18">
        <f>L39/M39</f>
        <v>4.2904229448521364E-4</v>
      </c>
      <c r="K39">
        <f>EXP($N$39*H39)</f>
        <v>18.737933526519576</v>
      </c>
      <c r="L39" s="17">
        <f>$N$39*$N$42*EXP($N$39*H39)</f>
        <v>3.7183574027958979E-2</v>
      </c>
      <c r="M39">
        <f>$N$42*EXP($N$39*H39)+$N$45</f>
        <v>86.66645341474711</v>
      </c>
      <c r="N39" s="19">
        <v>0.13955000000000001</v>
      </c>
    </row>
    <row r="40" spans="1:17" ht="15">
      <c r="A40" s="13" t="s">
        <v>54</v>
      </c>
      <c r="H40" s="2">
        <v>25</v>
      </c>
      <c r="I40">
        <v>80.7</v>
      </c>
      <c r="J40" s="18">
        <f t="shared" ref="J40:J52" si="14">L40/M40</f>
        <v>7.4804257813986235E-4</v>
      </c>
      <c r="K40">
        <f t="shared" ref="K40:K52" si="15">EXP($N$39*H40)</f>
        <v>32.744990874951569</v>
      </c>
      <c r="L40" s="17">
        <f t="shared" ref="L40:L52" si="16">$N$39*$N$42*EXP($N$39*H40)</f>
        <v>6.4979192637244776E-2</v>
      </c>
      <c r="M40">
        <f t="shared" ref="M40:M52" si="17">$N$42*EXP($N$39*H40)+$N$45</f>
        <v>86.865633770241814</v>
      </c>
    </row>
    <row r="41" spans="1:17" ht="15">
      <c r="A41">
        <f>8.617333*10^-5</f>
        <v>8.6173330000000013E-5</v>
      </c>
      <c r="H41" s="2">
        <v>30</v>
      </c>
      <c r="I41">
        <v>81.8</v>
      </c>
      <c r="J41" s="18">
        <f t="shared" si="14"/>
        <v>1.4949000524116453E-3</v>
      </c>
      <c r="K41">
        <f t="shared" si="15"/>
        <v>65.792115110267815</v>
      </c>
      <c r="L41" s="17">
        <f t="shared" si="16"/>
        <v>0.13055793901693058</v>
      </c>
      <c r="M41">
        <f t="shared" si="17"/>
        <v>87.335563876868008</v>
      </c>
      <c r="N41" s="12" t="s">
        <v>35</v>
      </c>
    </row>
    <row r="42" spans="1:17" ht="15">
      <c r="H42" s="2">
        <v>35</v>
      </c>
      <c r="I42">
        <v>84.3</v>
      </c>
      <c r="J42" s="18">
        <f t="shared" si="14"/>
        <v>2.9714684012846432E-3</v>
      </c>
      <c r="K42">
        <f t="shared" si="15"/>
        <v>132.19128468268758</v>
      </c>
      <c r="L42" s="17">
        <f t="shared" si="16"/>
        <v>0.26232051751560997</v>
      </c>
      <c r="M42">
        <f t="shared" si="17"/>
        <v>88.279760068187827</v>
      </c>
      <c r="N42" s="19">
        <f>0.01422</f>
        <v>1.422E-2</v>
      </c>
    </row>
    <row r="43" spans="1:17" ht="15">
      <c r="A43" s="13" t="s">
        <v>34</v>
      </c>
      <c r="H43" s="2">
        <v>40</v>
      </c>
      <c r="I43">
        <v>88.6</v>
      </c>
      <c r="J43" s="18">
        <f t="shared" si="14"/>
        <v>5.8447522261281231E-3</v>
      </c>
      <c r="K43">
        <f t="shared" si="15"/>
        <v>265.60227949461671</v>
      </c>
      <c r="L43" s="17">
        <f t="shared" si="16"/>
        <v>0.52706142903139697</v>
      </c>
      <c r="M43">
        <f t="shared" si="17"/>
        <v>90.176864414413458</v>
      </c>
    </row>
    <row r="44" spans="1:17" ht="15">
      <c r="A44">
        <v>1790</v>
      </c>
      <c r="H44" s="2">
        <v>45.2</v>
      </c>
      <c r="I44">
        <v>95.9</v>
      </c>
      <c r="J44" s="18">
        <f t="shared" si="14"/>
        <v>1.1559657994691832E-2</v>
      </c>
      <c r="K44">
        <f t="shared" si="15"/>
        <v>548.75934837095508</v>
      </c>
      <c r="L44" s="17">
        <f t="shared" si="16"/>
        <v>1.0889585996666717</v>
      </c>
      <c r="M44">
        <f t="shared" si="17"/>
        <v>94.20335793383498</v>
      </c>
      <c r="N44" s="12" t="s">
        <v>36</v>
      </c>
    </row>
    <row r="45" spans="1:17" ht="15">
      <c r="H45" s="2">
        <v>50</v>
      </c>
      <c r="I45">
        <v>106.1</v>
      </c>
      <c r="J45" s="18">
        <f t="shared" si="14"/>
        <v>2.0932633889340732E-2</v>
      </c>
      <c r="K45">
        <f t="shared" si="15"/>
        <v>1072.2344274006614</v>
      </c>
      <c r="L45" s="17">
        <f t="shared" si="16"/>
        <v>2.1277430699683002</v>
      </c>
      <c r="M45">
        <f t="shared" si="17"/>
        <v>101.64717355763742</v>
      </c>
      <c r="N45" s="19">
        <v>86.4</v>
      </c>
    </row>
    <row r="46" spans="1:17" ht="15">
      <c r="A46" s="13" t="s">
        <v>25</v>
      </c>
      <c r="H46" s="2">
        <v>55</v>
      </c>
      <c r="I46">
        <v>122.3</v>
      </c>
      <c r="J46" s="18">
        <f t="shared" si="14"/>
        <v>3.6528537647606607E-2</v>
      </c>
      <c r="K46">
        <f t="shared" si="15"/>
        <v>2154.3622089294822</v>
      </c>
      <c r="L46" s="17">
        <f t="shared" si="16"/>
        <v>4.2751185217618737</v>
      </c>
      <c r="M46">
        <f t="shared" si="17"/>
        <v>117.03503061097724</v>
      </c>
    </row>
    <row r="47" spans="1:17" ht="15">
      <c r="A47" s="20">
        <v>6.2E-2</v>
      </c>
      <c r="H47" s="2">
        <v>60</v>
      </c>
      <c r="I47">
        <v>151.69999999999999</v>
      </c>
      <c r="J47" s="18">
        <f t="shared" si="14"/>
        <v>5.8056942702837358E-2</v>
      </c>
      <c r="K47">
        <f t="shared" si="15"/>
        <v>4328.6024106827317</v>
      </c>
      <c r="L47" s="17">
        <f t="shared" si="16"/>
        <v>8.5896829523612244</v>
      </c>
      <c r="M47">
        <f t="shared" si="17"/>
        <v>147.95272627990846</v>
      </c>
      <c r="N47" s="12" t="s">
        <v>48</v>
      </c>
    </row>
    <row r="48" spans="1:17" ht="15">
      <c r="H48" s="2">
        <v>65</v>
      </c>
      <c r="I48">
        <v>213.8</v>
      </c>
      <c r="J48" s="18">
        <f t="shared" si="14"/>
        <v>8.2155201187577534E-2</v>
      </c>
      <c r="K48">
        <f t="shared" si="15"/>
        <v>8697.1442184175557</v>
      </c>
      <c r="L48" s="17">
        <f t="shared" si="16"/>
        <v>17.258621684172017</v>
      </c>
      <c r="M48">
        <f t="shared" si="17"/>
        <v>210.07339078589763</v>
      </c>
      <c r="N48" s="19">
        <v>2.7182818284590402</v>
      </c>
    </row>
    <row r="49" spans="8:13" ht="15">
      <c r="H49" s="2">
        <v>70</v>
      </c>
      <c r="I49">
        <v>340.8</v>
      </c>
      <c r="J49" s="18">
        <f t="shared" si="14"/>
        <v>0.10354654911126042</v>
      </c>
      <c r="K49">
        <f t="shared" si="15"/>
        <v>17474.535746059348</v>
      </c>
      <c r="L49" s="17">
        <f t="shared" si="16"/>
        <v>34.67648620901592</v>
      </c>
      <c r="M49">
        <f t="shared" si="17"/>
        <v>334.88789830896394</v>
      </c>
    </row>
    <row r="50" spans="8:13" ht="15">
      <c r="H50" s="2">
        <v>75</v>
      </c>
      <c r="I50">
        <v>587.29999999999995</v>
      </c>
      <c r="J50" s="18">
        <f t="shared" si="14"/>
        <v>0.11896306594926979</v>
      </c>
      <c r="K50">
        <f t="shared" si="15"/>
        <v>35110.306541043596</v>
      </c>
      <c r="L50" s="17">
        <f t="shared" si="16"/>
        <v>69.672927410353466</v>
      </c>
      <c r="M50">
        <f t="shared" si="17"/>
        <v>585.66855901363999</v>
      </c>
    </row>
    <row r="51" spans="8:13" ht="15">
      <c r="H51" s="2">
        <v>80</v>
      </c>
      <c r="I51">
        <v>1077.5999999999999</v>
      </c>
      <c r="J51" s="18">
        <f t="shared" si="14"/>
        <v>0.12848379043207669</v>
      </c>
      <c r="K51">
        <f t="shared" si="15"/>
        <v>70544.570872736484</v>
      </c>
      <c r="L51" s="17">
        <f t="shared" si="16"/>
        <v>139.98871698442917</v>
      </c>
      <c r="M51">
        <f t="shared" si="17"/>
        <v>1089.5437978103128</v>
      </c>
    </row>
    <row r="52" spans="8:13" ht="15">
      <c r="H52" s="2">
        <v>85</v>
      </c>
      <c r="I52">
        <v>2105.1999999999998</v>
      </c>
      <c r="J52" s="18">
        <f t="shared" si="14"/>
        <v>0.13381382287280361</v>
      </c>
      <c r="K52">
        <f t="shared" si="15"/>
        <v>141740.04643909933</v>
      </c>
      <c r="L52" s="17">
        <f t="shared" si="16"/>
        <v>281.26908989379518</v>
      </c>
      <c r="M52">
        <f t="shared" si="17"/>
        <v>2101.9434603639925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4FA1-A811-44CD-BD12-09343F35D31D}">
  <dimension ref="A1:F15"/>
  <sheetViews>
    <sheetView workbookViewId="0">
      <selection sqref="A1:B15"/>
    </sheetView>
  </sheetViews>
  <sheetFormatPr defaultRowHeight="14.4"/>
  <sheetData>
    <row r="1" spans="1:6">
      <c r="A1" s="1" t="s">
        <v>2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>
      <c r="A2">
        <v>294.14999999999998</v>
      </c>
      <c r="B2">
        <v>80.599999999999994</v>
      </c>
      <c r="C2">
        <v>-5.4000000000000057</v>
      </c>
      <c r="D2">
        <v>1.0000000000000011</v>
      </c>
      <c r="E2">
        <v>86.13955</v>
      </c>
      <c r="F2">
        <v>3.1E-4</v>
      </c>
    </row>
    <row r="3" spans="1:6">
      <c r="A3">
        <v>298.14999999999998</v>
      </c>
      <c r="B3">
        <v>80.7</v>
      </c>
      <c r="C3">
        <v>-5.2999999999999972</v>
      </c>
      <c r="D3">
        <v>1.0000000000000011</v>
      </c>
      <c r="E3">
        <v>86.13955</v>
      </c>
      <c r="F3">
        <v>1.65E-3</v>
      </c>
    </row>
    <row r="4" spans="1:6">
      <c r="A4">
        <v>303.14999999999998</v>
      </c>
      <c r="B4">
        <v>81.8</v>
      </c>
      <c r="C4">
        <v>-4.2000000000000028</v>
      </c>
      <c r="D4">
        <v>1.0000000000000011</v>
      </c>
      <c r="E4">
        <v>86.13955</v>
      </c>
      <c r="F4">
        <v>4.4000000000000003E-3</v>
      </c>
    </row>
    <row r="5" spans="1:6">
      <c r="A5">
        <v>308.14999999999998</v>
      </c>
      <c r="B5">
        <v>84.3</v>
      </c>
      <c r="C5">
        <v>-1.7000000000000031</v>
      </c>
      <c r="D5">
        <v>1.0000000000000011</v>
      </c>
      <c r="E5">
        <v>86.13955</v>
      </c>
      <c r="F5">
        <v>8.0700000000000008E-3</v>
      </c>
    </row>
    <row r="6" spans="1:6">
      <c r="A6">
        <v>313.14999999999998</v>
      </c>
      <c r="B6">
        <v>88.6</v>
      </c>
      <c r="C6">
        <v>2.5999999999999939</v>
      </c>
      <c r="D6">
        <v>1.0000000000000011</v>
      </c>
      <c r="E6">
        <v>86.13955</v>
      </c>
      <c r="F6">
        <v>1.2840000000000001E-2</v>
      </c>
    </row>
    <row r="7" spans="1:6">
      <c r="A7">
        <v>318.35000000000002</v>
      </c>
      <c r="B7">
        <v>95.9</v>
      </c>
      <c r="C7">
        <v>9.9000000000000057</v>
      </c>
      <c r="D7">
        <v>1.0000000000000011</v>
      </c>
      <c r="E7">
        <v>86.13955</v>
      </c>
      <c r="F7">
        <v>1.8249999999999999E-2</v>
      </c>
    </row>
    <row r="8" spans="1:6">
      <c r="A8">
        <v>323.14999999999998</v>
      </c>
      <c r="B8">
        <v>106.1</v>
      </c>
      <c r="C8">
        <v>20.099999999999991</v>
      </c>
      <c r="D8">
        <v>1.0000000000000011</v>
      </c>
      <c r="E8">
        <v>86.13955</v>
      </c>
      <c r="F8">
        <v>2.5389999999999999E-2</v>
      </c>
    </row>
    <row r="9" spans="1:6">
      <c r="A9">
        <v>328.15</v>
      </c>
      <c r="B9">
        <v>122.3</v>
      </c>
      <c r="C9">
        <v>36.299999999999997</v>
      </c>
      <c r="D9">
        <v>1.0000000000000011</v>
      </c>
      <c r="E9">
        <v>86.13955</v>
      </c>
      <c r="F9">
        <v>3.7289999999999997E-2</v>
      </c>
    </row>
    <row r="10" spans="1:6">
      <c r="A10">
        <v>333.15</v>
      </c>
      <c r="B10">
        <v>151.69999999999999</v>
      </c>
      <c r="C10">
        <v>65.699999999999989</v>
      </c>
      <c r="D10">
        <v>1.0000000000000011</v>
      </c>
      <c r="E10">
        <v>86.13955</v>
      </c>
      <c r="F10">
        <v>6.0319999999999999E-2</v>
      </c>
    </row>
    <row r="11" spans="1:6">
      <c r="A11">
        <v>338.15</v>
      </c>
      <c r="B11">
        <v>213.8</v>
      </c>
      <c r="C11">
        <v>127.8</v>
      </c>
      <c r="D11">
        <v>1.0000000000000011</v>
      </c>
      <c r="E11">
        <v>86.13955</v>
      </c>
      <c r="F11">
        <v>8.8450000000000001E-2</v>
      </c>
    </row>
    <row r="12" spans="1:6">
      <c r="A12">
        <v>343.15</v>
      </c>
      <c r="B12">
        <v>340.8</v>
      </c>
      <c r="C12">
        <v>254.8</v>
      </c>
      <c r="D12">
        <v>1.0000000000000011</v>
      </c>
      <c r="E12">
        <v>86.13955</v>
      </c>
      <c r="F12">
        <v>0.1096</v>
      </c>
    </row>
    <row r="13" spans="1:6">
      <c r="A13">
        <v>348.15</v>
      </c>
      <c r="B13">
        <v>587.29999999999995</v>
      </c>
      <c r="C13">
        <v>501.3</v>
      </c>
      <c r="D13">
        <v>1.0000000000000011</v>
      </c>
      <c r="E13">
        <v>86.13955</v>
      </c>
      <c r="F13">
        <v>0.12545999999999999</v>
      </c>
    </row>
    <row r="14" spans="1:6">
      <c r="A14">
        <v>353.15</v>
      </c>
      <c r="B14">
        <v>1077.5999999999999</v>
      </c>
      <c r="C14">
        <v>991.59999999999991</v>
      </c>
      <c r="D14">
        <v>1.0000000000000011</v>
      </c>
      <c r="E14">
        <v>86.13955</v>
      </c>
      <c r="F14">
        <v>0.14086000000000001</v>
      </c>
    </row>
    <row r="15" spans="1:6">
      <c r="A15">
        <v>358.15</v>
      </c>
      <c r="B15">
        <v>2105.1999999999998</v>
      </c>
      <c r="C15">
        <v>2019.2</v>
      </c>
      <c r="D15">
        <v>1.0000000000000011</v>
      </c>
      <c r="E15">
        <v>86.13955</v>
      </c>
      <c r="F15">
        <v>9.7625000000000003E-2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PTC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Ksawery</dc:creator>
  <cp:keywords/>
  <dc:description/>
  <cp:lastModifiedBy>Ksawery Zelek</cp:lastModifiedBy>
  <cp:revision/>
  <cp:lastPrinted>2025-11-06T23:09:31Z</cp:lastPrinted>
  <dcterms:created xsi:type="dcterms:W3CDTF">2025-11-03T22:01:12Z</dcterms:created>
  <dcterms:modified xsi:type="dcterms:W3CDTF">2025-11-06T23:10:05Z</dcterms:modified>
  <cp:category/>
  <cp:contentStatus/>
</cp:coreProperties>
</file>